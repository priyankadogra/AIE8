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<sst xmlns="http://schemas.openxmlformats.org/spreadsheetml/2006/main" count="22" uniqueCount="11">
  <si>
    <t>Naive Retrieval</t>
  </si>
  <si>
    <t>Metrics</t>
  </si>
  <si>
    <t>Score</t>
  </si>
  <si>
    <t>Faithfulness</t>
  </si>
  <si>
    <t>Answer Relevancy</t>
  </si>
  <si>
    <t>Context Precision</t>
  </si>
  <si>
    <t>Context Recall</t>
  </si>
  <si>
    <t>Advanced Retrieval (Cohere Re-ranking)</t>
  </si>
  <si>
    <t>Change from naive to retrieval</t>
  </si>
  <si>
    <t>Absolute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</si>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</sst>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E4E4E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4" fontId="3" numFmtId="0" xfId="0" applyAlignment="1" applyFill="1" applyFont="1">
      <alignment readingOrder="0"/>
    </xf>
    <xf borderId="0" fillId="0" fontId="2" numFmtId="0" xfId="0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6.5"/>
  </cols>
  <sheetData>
    <row r="1">
      <c r="A1" s="1" t="s">
        <v>0</v>
      </c>
      <c r="B1" s="1"/>
    </row>
    <row r="2">
      <c r="A2" s="2" t="s">
        <v>1</v>
      </c>
      <c r="B2" s="2" t="s">
        <v>2</v>
      </c>
    </row>
    <row r="3">
      <c r="A3" s="3" t="s">
        <v>3</v>
      </c>
      <c r="B3" s="4">
        <v>0.131601731601731</v>
      </c>
    </row>
    <row r="4">
      <c r="A4" s="3" t="s">
        <v>4</v>
      </c>
      <c r="B4" s="4">
        <v>0.769557782159768</v>
      </c>
    </row>
    <row r="5">
      <c r="A5" s="3" t="s">
        <v>5</v>
      </c>
      <c r="B5" s="4">
        <v>0.69999999993</v>
      </c>
    </row>
    <row r="6">
      <c r="A6" s="3" t="s">
        <v>6</v>
      </c>
      <c r="B6" s="4">
        <v>0.5</v>
      </c>
    </row>
    <row r="9">
      <c r="A9" s="1" t="s">
        <v>7</v>
      </c>
      <c r="B9" s="1"/>
    </row>
    <row r="10">
      <c r="A10" s="2" t="s">
        <v>1</v>
      </c>
      <c r="B10" s="2" t="s">
        <v>2</v>
      </c>
    </row>
    <row r="11">
      <c r="A11" s="3" t="s">
        <v>3</v>
      </c>
      <c r="B11" s="4">
        <v>0.136666666666666</v>
      </c>
    </row>
    <row r="12">
      <c r="A12" s="3" t="s">
        <v>4</v>
      </c>
      <c r="B12" s="4">
        <v>0.767644602507647</v>
      </c>
    </row>
    <row r="13">
      <c r="A13" s="3" t="s">
        <v>5</v>
      </c>
      <c r="B13" s="4">
        <v>0.69999999993</v>
      </c>
    </row>
    <row r="14">
      <c r="A14" s="3" t="s">
        <v>6</v>
      </c>
      <c r="B14" s="4">
        <v>0.5</v>
      </c>
    </row>
    <row r="15">
      <c r="A15" s="5"/>
      <c r="B15" s="4"/>
    </row>
    <row r="16">
      <c r="A16" s="1" t="s">
        <v>8</v>
      </c>
    </row>
    <row r="17">
      <c r="A17" s="2" t="s">
        <v>1</v>
      </c>
      <c r="B17" s="2" t="s">
        <v>9</v>
      </c>
      <c r="C17" s="2" t="s">
        <v>10</v>
      </c>
    </row>
    <row r="18">
      <c r="A18" s="3" t="s">
        <v>3</v>
      </c>
      <c r="B18" s="6">
        <f t="shared" ref="B18:B21" si="1">B11-B3</f>
        <v>0.005064935065</v>
      </c>
      <c r="C18" s="7">
        <f t="shared" ref="C18:C21" si="2">B18*100</f>
        <v>0.5064935065</v>
      </c>
    </row>
    <row r="19">
      <c r="A19" s="3" t="s">
        <v>4</v>
      </c>
      <c r="B19" s="6">
        <f t="shared" si="1"/>
        <v>-0.001913179652</v>
      </c>
      <c r="C19" s="8">
        <f t="shared" si="2"/>
        <v>-0.1913179652</v>
      </c>
    </row>
    <row r="20">
      <c r="A20" s="3" t="s">
        <v>5</v>
      </c>
      <c r="B20" s="6">
        <f t="shared" si="1"/>
        <v>0</v>
      </c>
      <c r="C20" s="9">
        <f t="shared" si="2"/>
        <v>0</v>
      </c>
    </row>
    <row r="21">
      <c r="A21" s="3" t="s">
        <v>6</v>
      </c>
      <c r="B21" s="6">
        <f t="shared" si="1"/>
        <v>0</v>
      </c>
      <c r="C21" s="9">
        <f t="shared" si="2"/>
        <v>0</v>
      </c>
    </row>
  </sheetData>
  <drawing r:id="rId1"/>
</worksheet>
</file>